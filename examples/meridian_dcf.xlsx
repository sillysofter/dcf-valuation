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Inputs" sheetId="1" state="visible" r:id="rId1"/>
    <sheet name="WACC" sheetId="2" state="visible" r:id="rId2"/>
    <sheet name="DCF" sheetId="3" state="visible" r:id="rId3"/>
    <sheet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_);(0.0%)"/>
    <numFmt numFmtId="165" formatCode="#,##0.0_);(#,##0.0)"/>
    <numFmt numFmtId="166" formatCode="0.0&quot;x&quot;"/>
    <numFmt numFmtId="167" formatCode="#,##0.000"/>
    <numFmt numFmtId="168" formatCode="0.00%_);(0.00%)"/>
    <numFmt numFmtId="169" formatCode="0.0"/>
    <numFmt numFmtId="170" formatCode="0.0000"/>
  </numFmts>
  <fonts count="11">
    <font>
      <name val="Calibri"/>
      <family val="2"/>
      <color theme="1"/>
      <sz val="11"/>
      <scheme val="minor"/>
    </font>
    <font>
      <b val="1"/>
      <sz val="14"/>
    </font>
    <font>
      <i val="1"/>
    </font>
    <font>
      <i val="1"/>
      <color rgb="00808080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  <color rgb="00000000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9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2" fontId="7" fillId="0" borderId="0" pivotButton="0" quotePrefix="0" xfId="0"/>
    <xf numFmtId="168" fontId="7" fillId="0" borderId="0" pivotButton="0" quotePrefix="0" xfId="0"/>
    <xf numFmtId="168" fontId="8" fillId="0" borderId="0" pivotButton="0" quotePrefix="0" xfId="0"/>
    <xf numFmtId="0" fontId="4" fillId="2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165" fontId="6" fillId="0" borderId="0" pivotButton="0" quotePrefix="0" xfId="0"/>
    <xf numFmtId="165" fontId="8" fillId="0" borderId="0" pivotButton="0" quotePrefix="0" xfId="0"/>
    <xf numFmtId="165" fontId="7" fillId="0" borderId="0" pivotButton="0" quotePrefix="0" xfId="0"/>
    <xf numFmtId="0" fontId="10" fillId="0" borderId="1" pivotButton="0" quotePrefix="0" xfId="0"/>
    <xf numFmtId="0" fontId="0" fillId="0" borderId="1" pivotButton="0" quotePrefix="0" xfId="0"/>
    <xf numFmtId="165" fontId="8" fillId="0" borderId="1" pivotButton="0" quotePrefix="0" xfId="0"/>
    <xf numFmtId="1" fontId="7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168" fontId="6" fillId="0" borderId="0" pivotButton="0" quotePrefix="0" xfId="0"/>
    <xf numFmtId="166" fontId="6" fillId="0" borderId="0" pivotButton="0" quotePrefix="0" xfId="0"/>
    <xf numFmtId="166" fontId="7" fillId="0" borderId="0" pivotButton="0" quotePrefix="0" xfId="0"/>
    <xf numFmtId="167" fontId="6" fillId="0" borderId="0" pivotButton="0" quotePrefix="0" xfId="0"/>
    <xf numFmtId="0" fontId="10" fillId="3" borderId="0" pivotButton="0" quotePrefix="0" xfId="0"/>
    <xf numFmtId="39" fontId="8" fillId="3" borderId="0" pivotButton="0" quotePrefix="0" xfId="0"/>
    <xf numFmtId="167" fontId="7" fillId="0" borderId="0" pivotButton="0" quotePrefix="0" xfId="0"/>
    <xf numFmtId="39" fontId="6" fillId="0" borderId="0" pivotButton="0" quotePrefix="0" xfId="0"/>
    <xf numFmtId="0" fontId="10" fillId="0" borderId="0" applyAlignment="1" pivotButton="0" quotePrefix="0" xfId="0">
      <alignment horizontal="right"/>
    </xf>
    <xf numFmtId="39" fontId="7" fillId="0" borderId="0" pivotButton="0" quotePrefix="0" xfId="0"/>
    <xf numFmtId="164" fontId="8" fillId="0" borderId="0" pivotButton="0" quotePrefix="0" xfId="0"/>
    <xf numFmtId="168" fontId="8" fillId="0" borderId="0" applyAlignment="1" pivotButton="0" quotePrefix="0" xfId="0">
      <alignment horizontal="right"/>
    </xf>
    <xf numFmtId="39" fontId="7" fillId="0" borderId="0" applyAlignment="1" pivotButton="0" quotePrefix="0" xfId="0">
      <alignment horizontal="right"/>
    </xf>
    <xf numFmtId="39" fontId="10" fillId="3" borderId="0" applyAlignment="1" pivotButton="0" quotePrefix="0" xfId="0">
      <alignment horizontal="right"/>
    </xf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</cols>
  <sheetData>
    <row r="1">
      <c r="B1" s="1" t="inlineStr">
        <is>
          <t>Meridian Industrial Corp. (illustrative): DCF inputs</t>
        </is>
      </c>
    </row>
    <row r="2">
      <c r="B2" s="2" t="inlineStr">
        <is>
          <t>($in millions, except per-share data)</t>
        </is>
      </c>
    </row>
    <row r="3">
      <c r="B3" s="3" t="inlineStr">
        <is>
          <t>Blue = hard-coded input, black = formula, green = link to another sheet</t>
        </is>
      </c>
    </row>
    <row r="5">
      <c r="B5" s="4" t="inlineStr">
        <is>
          <t>General</t>
        </is>
      </c>
      <c r="C5" s="4" t="n"/>
      <c r="D5" s="4" t="n"/>
    </row>
    <row r="6">
      <c r="B6" t="inlineStr">
        <is>
          <t>Base fiscal year (valuation date = year end)</t>
        </is>
      </c>
      <c r="C6" s="5" t="n">
        <v>2025</v>
      </c>
    </row>
    <row r="7">
      <c r="B7" t="inlineStr">
        <is>
          <t>Mid-year convention (1 = on, 0 = off)</t>
        </is>
      </c>
      <c r="C7" s="5" t="n">
        <v>1</v>
      </c>
    </row>
    <row r="8">
      <c r="B8" t="inlineStr">
        <is>
          <t>Tax rate</t>
        </is>
      </c>
      <c r="C8" s="6" t="n">
        <v>0.24</v>
      </c>
    </row>
    <row r="10">
      <c r="B10" s="4" t="inlineStr">
        <is>
          <t>Base year</t>
        </is>
      </c>
      <c r="C10" s="4" t="n"/>
      <c r="D10" s="4" t="n"/>
    </row>
    <row r="11">
      <c r="B11" t="inlineStr">
        <is>
          <t>Revenue</t>
        </is>
      </c>
      <c r="C11" s="7" t="n">
        <v>2400</v>
      </c>
    </row>
    <row r="12">
      <c r="B12" t="inlineStr">
        <is>
          <t>Net working capital</t>
        </is>
      </c>
      <c r="C12" s="7" t="n">
        <v>285</v>
      </c>
    </row>
    <row r="14">
      <c r="B14" s="4" t="inlineStr">
        <is>
          <t>Terminal value</t>
        </is>
      </c>
      <c r="C14" s="4" t="n"/>
      <c r="D14" s="4" t="n"/>
    </row>
    <row r="15">
      <c r="B15" t="inlineStr">
        <is>
          <t>Terminal (perpetuity) growth rate</t>
        </is>
      </c>
      <c r="C15" s="6" t="n">
        <v>0.025</v>
      </c>
    </row>
    <row r="16">
      <c r="B16" t="inlineStr">
        <is>
          <t>Exit EV/EBITDA multiple</t>
        </is>
      </c>
      <c r="C16" s="8" t="n">
        <v>10</v>
      </c>
    </row>
    <row r="18">
      <c r="B18" s="4" t="inlineStr">
        <is>
          <t>Equity bridge</t>
        </is>
      </c>
      <c r="C18" s="4" t="n"/>
      <c r="D18" s="4" t="n"/>
    </row>
    <row r="19">
      <c r="B19" t="inlineStr">
        <is>
          <t>Total debt</t>
        </is>
      </c>
      <c r="C19" s="7" t="n">
        <v>900</v>
      </c>
    </row>
    <row r="20">
      <c r="B20" t="inlineStr">
        <is>
          <t>Preferred equity</t>
        </is>
      </c>
      <c r="C20" s="7" t="n">
        <v>0</v>
      </c>
    </row>
    <row r="21">
      <c r="B21" t="inlineStr">
        <is>
          <t>Minority (non-controlling) interest</t>
        </is>
      </c>
      <c r="C21" s="7" t="n">
        <v>40</v>
      </c>
    </row>
    <row r="22">
      <c r="B22" t="inlineStr">
        <is>
          <t>Cash and equivalents</t>
        </is>
      </c>
      <c r="C22" s="7" t="n">
        <v>250</v>
      </c>
    </row>
    <row r="23">
      <c r="B23" t="inlineStr">
        <is>
          <t>Non-operating assets (e.g. investments)</t>
        </is>
      </c>
      <c r="C23" s="7" t="n">
        <v>60</v>
      </c>
    </row>
    <row r="25">
      <c r="B25" s="4" t="inlineStr">
        <is>
          <t>Shares</t>
        </is>
      </c>
      <c r="C25" s="4" t="n"/>
      <c r="D25" s="4" t="n"/>
    </row>
    <row r="26">
      <c r="B26" t="inlineStr">
        <is>
          <t>Basic shares outstanding</t>
        </is>
      </c>
      <c r="C26" s="9" t="n">
        <v>120</v>
      </c>
    </row>
    <row r="27">
      <c r="B27" t="inlineStr">
        <is>
          <t>RSUs / restricted stock (fully dilutive)</t>
        </is>
      </c>
      <c r="C27" s="9" t="n">
        <v>1.5</v>
      </c>
    </row>
    <row r="28">
      <c r="B28" t="inlineStr">
        <is>
          <t>Current share price ($)</t>
        </is>
      </c>
      <c r="C28" s="10" t="n">
        <v>38.5</v>
      </c>
    </row>
    <row r="30">
      <c r="B30" s="4" t="inlineStr">
        <is>
          <t>Options (keep sorted by ascending strike)</t>
        </is>
      </c>
      <c r="C30" s="4" t="inlineStr">
        <is>
          <t>Count</t>
        </is>
      </c>
      <c r="D30" s="4" t="inlineStr">
        <is>
          <t>Strike</t>
        </is>
      </c>
    </row>
    <row r="31">
      <c r="B31" t="inlineStr">
        <is>
          <t>Tranche 1</t>
        </is>
      </c>
      <c r="C31" s="9" t="n">
        <v>3</v>
      </c>
      <c r="D31" s="10" t="n">
        <v>25</v>
      </c>
    </row>
    <row r="32">
      <c r="B32" t="inlineStr">
        <is>
          <t>Tranche 2</t>
        </is>
      </c>
      <c r="C32" s="9" t="n">
        <v>2.5</v>
      </c>
      <c r="D32" s="10" t="n">
        <v>40</v>
      </c>
    </row>
    <row r="33">
      <c r="B33" t="inlineStr">
        <is>
          <t>Tranche 3</t>
        </is>
      </c>
      <c r="C33" s="9" t="n">
        <v>1</v>
      </c>
      <c r="D33" s="10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</cols>
  <sheetData>
    <row r="1">
      <c r="B1" s="1" t="inlineStr">
        <is>
          <t>Meridian Industrial Corp. (illustrative): weighted average cost of capital</t>
        </is>
      </c>
    </row>
    <row r="2">
      <c r="B2" s="2" t="inlineStr">
        <is>
          <t>CAPM cost of equity, Hamada relevering</t>
        </is>
      </c>
    </row>
    <row r="4">
      <c r="B4" s="4" t="inlineStr">
        <is>
          <t>Cost of capital</t>
        </is>
      </c>
      <c r="C4" s="4" t="n"/>
    </row>
    <row r="5">
      <c r="B5" t="inlineStr">
        <is>
          <t>Risk-free rate</t>
        </is>
      </c>
      <c r="C5" s="11" t="n">
        <v>0.0425</v>
      </c>
    </row>
    <row r="6">
      <c r="B6" t="inlineStr">
        <is>
          <t>Equity risk premium</t>
        </is>
      </c>
      <c r="C6" s="11" t="n">
        <v>0.055</v>
      </c>
    </row>
    <row r="7">
      <c r="B7" t="inlineStr">
        <is>
          <t>Unlevered beta</t>
        </is>
      </c>
      <c r="C7" s="12" t="n">
        <v>0.95</v>
      </c>
    </row>
    <row r="8">
      <c r="B8" t="inlineStr">
        <is>
          <t>Size premium</t>
        </is>
      </c>
      <c r="C8" s="11" t="n">
        <v>0.005</v>
      </c>
    </row>
    <row r="9">
      <c r="B9" t="inlineStr">
        <is>
          <t>Target debt / total capital</t>
        </is>
      </c>
      <c r="C9" s="6" t="n">
        <v>0.25</v>
      </c>
    </row>
    <row r="10">
      <c r="B10" t="inlineStr">
        <is>
          <t>Pre-tax cost of debt</t>
        </is>
      </c>
      <c r="C10" s="11" t="n">
        <v>0.06</v>
      </c>
    </row>
    <row r="11">
      <c r="B11" t="inlineStr">
        <is>
          <t>Tax rate</t>
        </is>
      </c>
      <c r="C11" s="13">
        <f>Inputs!$C$8</f>
        <v/>
      </c>
    </row>
    <row r="13">
      <c r="B13" t="inlineStr">
        <is>
          <t>Target debt / equity</t>
        </is>
      </c>
      <c r="C13" s="14">
        <f>$C$9/(1-$C$9)</f>
        <v/>
      </c>
    </row>
    <row r="14">
      <c r="B14" t="inlineStr">
        <is>
          <t>Levered beta  = βu × (1 + (1 − t) × D/E)</t>
        </is>
      </c>
      <c r="C14" s="15">
        <f>$C$7*(1+(1-$C$11)*$C$13)</f>
        <v/>
      </c>
    </row>
    <row r="15">
      <c r="B15" t="inlineStr">
        <is>
          <t>Cost of equity  = rf + βL × ERP + size</t>
        </is>
      </c>
      <c r="C15" s="16">
        <f>$C$5+$C$14*$C$6+$C$8</f>
        <v/>
      </c>
    </row>
    <row r="16">
      <c r="B16" t="inlineStr">
        <is>
          <t>After-tax cost of debt  = kd × (1 − t)</t>
        </is>
      </c>
      <c r="C16" s="16">
        <f>$C$10*(1-$C$11)</f>
        <v/>
      </c>
    </row>
    <row r="17">
      <c r="B17" t="inlineStr">
        <is>
          <t>Equity weight</t>
        </is>
      </c>
      <c r="C17" s="14">
        <f>1-$C$9</f>
        <v/>
      </c>
    </row>
    <row r="18">
      <c r="B18" t="inlineStr">
        <is>
          <t>Debt weight</t>
        </is>
      </c>
      <c r="C18" s="14">
        <f>$C$9</f>
        <v/>
      </c>
    </row>
    <row r="19">
      <c r="B19" t="inlineStr">
        <is>
          <t>WACC</t>
        </is>
      </c>
      <c r="C19" s="17">
        <f>$C$17*$C$15+$C$18*$C$16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Meridian Industrial Corp. (illustrative): discounted cash flow analysis</t>
        </is>
      </c>
    </row>
    <row r="2">
      <c r="B2" s="2" t="inlineStr">
        <is>
          <t>($in millions, except per-share data)</t>
        </is>
      </c>
    </row>
    <row r="4">
      <c r="B4" s="4" t="inlineStr">
        <is>
          <t>Unlevered free cash flow</t>
        </is>
      </c>
      <c r="C4" s="18" t="inlineStr">
        <is>
          <t>FY2025A</t>
        </is>
      </c>
      <c r="D4" s="18" t="inlineStr">
        <is>
          <t>FY2026E</t>
        </is>
      </c>
      <c r="E4" s="18" t="inlineStr">
        <is>
          <t>FY2027E</t>
        </is>
      </c>
      <c r="F4" s="18" t="inlineStr">
        <is>
          <t>FY2028E</t>
        </is>
      </c>
      <c r="G4" s="18" t="inlineStr">
        <is>
          <t>FY2029E</t>
        </is>
      </c>
      <c r="H4" s="18" t="inlineStr">
        <is>
          <t>FY2030E</t>
        </is>
      </c>
    </row>
    <row r="5">
      <c r="B5" s="19" t="inlineStr">
        <is>
          <t>Revenue growth</t>
        </is>
      </c>
      <c r="D5" s="6" t="n">
        <v>0.08</v>
      </c>
      <c r="E5" s="6" t="n">
        <v>0.075</v>
      </c>
      <c r="F5" s="6" t="n">
        <v>0.065</v>
      </c>
      <c r="G5" s="6" t="n">
        <v>0.055</v>
      </c>
      <c r="H5" s="6" t="n">
        <v>0.045</v>
      </c>
    </row>
    <row r="6">
      <c r="B6" s="20" t="inlineStr">
        <is>
          <t>Revenue</t>
        </is>
      </c>
      <c r="C6" s="21">
        <f>Inputs!$C$11</f>
        <v/>
      </c>
      <c r="D6" s="22">
        <f>C6*(1+D5)</f>
        <v/>
      </c>
      <c r="E6" s="22">
        <f>D6*(1+E5)</f>
        <v/>
      </c>
      <c r="F6" s="22">
        <f>E6*(1+F5)</f>
        <v/>
      </c>
      <c r="G6" s="22">
        <f>F6*(1+G5)</f>
        <v/>
      </c>
      <c r="H6" s="22">
        <f>G6*(1+H5)</f>
        <v/>
      </c>
    </row>
    <row r="7">
      <c r="B7" s="19" t="inlineStr">
        <is>
          <t>EBITDA margin</t>
        </is>
      </c>
      <c r="D7" s="6" t="n">
        <v>0.21</v>
      </c>
      <c r="E7" s="6" t="n">
        <v>0.215</v>
      </c>
      <c r="F7" s="6" t="n">
        <v>0.22</v>
      </c>
      <c r="G7" s="6" t="n">
        <v>0.225</v>
      </c>
      <c r="H7" s="6" t="n">
        <v>0.23</v>
      </c>
    </row>
    <row r="8">
      <c r="B8" s="20" t="inlineStr">
        <is>
          <t>EBITDA</t>
        </is>
      </c>
      <c r="D8" s="22">
        <f>D6*D7</f>
        <v/>
      </c>
      <c r="E8" s="22">
        <f>E6*E7</f>
        <v/>
      </c>
      <c r="F8" s="22">
        <f>F6*F7</f>
        <v/>
      </c>
      <c r="G8" s="22">
        <f>G6*G7</f>
        <v/>
      </c>
      <c r="H8" s="22">
        <f>H6*H7</f>
        <v/>
      </c>
    </row>
    <row r="9">
      <c r="B9" s="19" t="inlineStr">
        <is>
          <t>D&amp;A, % of revenue</t>
        </is>
      </c>
      <c r="D9" s="6" t="n">
        <v>0.04</v>
      </c>
      <c r="E9" s="6" t="n">
        <v>0.04</v>
      </c>
      <c r="F9" s="6" t="n">
        <v>0.04</v>
      </c>
      <c r="G9" s="6" t="n">
        <v>0.04</v>
      </c>
      <c r="H9" s="6" t="n">
        <v>0.04</v>
      </c>
    </row>
    <row r="10">
      <c r="B10" s="19" t="inlineStr">
        <is>
          <t>Less: D&amp;A</t>
        </is>
      </c>
      <c r="D10" s="23">
        <f>D6*D9</f>
        <v/>
      </c>
      <c r="E10" s="23">
        <f>E6*E9</f>
        <v/>
      </c>
      <c r="F10" s="23">
        <f>F6*F9</f>
        <v/>
      </c>
      <c r="G10" s="23">
        <f>G6*G9</f>
        <v/>
      </c>
      <c r="H10" s="23">
        <f>H6*H9</f>
        <v/>
      </c>
    </row>
    <row r="11">
      <c r="B11" s="19" t="inlineStr">
        <is>
          <t>EBIT</t>
        </is>
      </c>
      <c r="D11" s="23">
        <f>D8-D10</f>
        <v/>
      </c>
      <c r="E11" s="23">
        <f>E8-E10</f>
        <v/>
      </c>
      <c r="F11" s="23">
        <f>F8-F10</f>
        <v/>
      </c>
      <c r="G11" s="23">
        <f>G8-G10</f>
        <v/>
      </c>
      <c r="H11" s="23">
        <f>H8-H10</f>
        <v/>
      </c>
    </row>
    <row r="12">
      <c r="B12" s="19" t="inlineStr">
        <is>
          <t>Less: taxes on EBIT  = t × max(EBIT, 0)</t>
        </is>
      </c>
      <c r="D12" s="23">
        <f>MAX(D11,0)*Inputs!$C$8</f>
        <v/>
      </c>
      <c r="E12" s="23">
        <f>MAX(E11,0)*Inputs!$C$8</f>
        <v/>
      </c>
      <c r="F12" s="23">
        <f>MAX(F11,0)*Inputs!$C$8</f>
        <v/>
      </c>
      <c r="G12" s="23">
        <f>MAX(G11,0)*Inputs!$C$8</f>
        <v/>
      </c>
      <c r="H12" s="23">
        <f>MAX(H11,0)*Inputs!$C$8</f>
        <v/>
      </c>
    </row>
    <row r="13">
      <c r="B13" s="19" t="inlineStr">
        <is>
          <t>NOPAT</t>
        </is>
      </c>
      <c r="D13" s="23">
        <f>D11-D12</f>
        <v/>
      </c>
      <c r="E13" s="23">
        <f>E11-E12</f>
        <v/>
      </c>
      <c r="F13" s="23">
        <f>F11-F12</f>
        <v/>
      </c>
      <c r="G13" s="23">
        <f>G11-G12</f>
        <v/>
      </c>
      <c r="H13" s="23">
        <f>H11-H12</f>
        <v/>
      </c>
    </row>
    <row r="14">
      <c r="B14" s="19" t="inlineStr">
        <is>
          <t>Plus: D&amp;A</t>
        </is>
      </c>
      <c r="D14" s="23">
        <f>D10</f>
        <v/>
      </c>
      <c r="E14" s="23">
        <f>E10</f>
        <v/>
      </c>
      <c r="F14" s="23">
        <f>F10</f>
        <v/>
      </c>
      <c r="G14" s="23">
        <f>G10</f>
        <v/>
      </c>
      <c r="H14" s="23">
        <f>H10</f>
        <v/>
      </c>
    </row>
    <row r="15">
      <c r="B15" s="19" t="inlineStr">
        <is>
          <t>CapEx, % of revenue</t>
        </is>
      </c>
      <c r="D15" s="6" t="n">
        <v>0.05</v>
      </c>
      <c r="E15" s="6" t="n">
        <v>0.048</v>
      </c>
      <c r="F15" s="6" t="n">
        <v>0.046</v>
      </c>
      <c r="G15" s="6" t="n">
        <v>0.044</v>
      </c>
      <c r="H15" s="6" t="n">
        <v>0.042</v>
      </c>
    </row>
    <row r="16">
      <c r="B16" s="19" t="inlineStr">
        <is>
          <t>Less: capital expenditures</t>
        </is>
      </c>
      <c r="D16" s="23">
        <f>D6*D15</f>
        <v/>
      </c>
      <c r="E16" s="23">
        <f>E6*E15</f>
        <v/>
      </c>
      <c r="F16" s="23">
        <f>F6*F15</f>
        <v/>
      </c>
      <c r="G16" s="23">
        <f>G6*G15</f>
        <v/>
      </c>
      <c r="H16" s="23">
        <f>H6*H15</f>
        <v/>
      </c>
    </row>
    <row r="17">
      <c r="B17" s="19" t="inlineStr">
        <is>
          <t>NWC, % of revenue</t>
        </is>
      </c>
      <c r="D17" s="6" t="n">
        <v>0.12</v>
      </c>
      <c r="E17" s="6" t="n">
        <v>0.12</v>
      </c>
      <c r="F17" s="6" t="n">
        <v>0.12</v>
      </c>
      <c r="G17" s="6" t="n">
        <v>0.12</v>
      </c>
      <c r="H17" s="6" t="n">
        <v>0.12</v>
      </c>
    </row>
    <row r="18">
      <c r="B18" s="19" t="inlineStr">
        <is>
          <t>Net working capital</t>
        </is>
      </c>
      <c r="C18" s="21">
        <f>Inputs!$C$12</f>
        <v/>
      </c>
      <c r="D18" s="23">
        <f>D6*D17</f>
        <v/>
      </c>
      <c r="E18" s="23">
        <f>E6*E17</f>
        <v/>
      </c>
      <c r="F18" s="23">
        <f>F6*F17</f>
        <v/>
      </c>
      <c r="G18" s="23">
        <f>G6*G17</f>
        <v/>
      </c>
      <c r="H18" s="23">
        <f>H6*H17</f>
        <v/>
      </c>
    </row>
    <row r="19">
      <c r="B19" s="19" t="inlineStr">
        <is>
          <t>Less: increase in NWC</t>
        </is>
      </c>
      <c r="D19" s="23">
        <f>D18-C18</f>
        <v/>
      </c>
      <c r="E19" s="23">
        <f>E18-D18</f>
        <v/>
      </c>
      <c r="F19" s="23">
        <f>F18-E18</f>
        <v/>
      </c>
      <c r="G19" s="23">
        <f>G18-F18</f>
        <v/>
      </c>
      <c r="H19" s="23">
        <f>H18-G18</f>
        <v/>
      </c>
    </row>
    <row r="20">
      <c r="B20" s="24" t="inlineStr">
        <is>
          <t>Unlevered free cash flow</t>
        </is>
      </c>
      <c r="C20" s="25" t="n"/>
      <c r="D20" s="26">
        <f>D13+D14-D16-D19</f>
        <v/>
      </c>
      <c r="E20" s="26">
        <f>E13+E14-E16-E19</f>
        <v/>
      </c>
      <c r="F20" s="26">
        <f>F13+F14-F16-F19</f>
        <v/>
      </c>
      <c r="G20" s="26">
        <f>G13+G14-G16-G19</f>
        <v/>
      </c>
      <c r="H20" s="26">
        <f>H13+H14-H16-H19</f>
        <v/>
      </c>
    </row>
    <row r="22">
      <c r="B22" s="19" t="inlineStr">
        <is>
          <t>Year</t>
        </is>
      </c>
      <c r="D22" s="27">
        <f>1</f>
        <v/>
      </c>
      <c r="E22" s="27">
        <f>D22+1</f>
        <v/>
      </c>
      <c r="F22" s="27">
        <f>E22+1</f>
        <v/>
      </c>
      <c r="G22" s="27">
        <f>F22+1</f>
        <v/>
      </c>
      <c r="H22" s="27">
        <f>G22+1</f>
        <v/>
      </c>
    </row>
    <row r="23">
      <c r="B23" s="19" t="inlineStr">
        <is>
          <t>Discount period (years)</t>
        </is>
      </c>
      <c r="D23" s="28">
        <f>IF(Inputs!$C$7=1,D22-0.5,D22)</f>
        <v/>
      </c>
      <c r="E23" s="28">
        <f>IF(Inputs!$C$7=1,E22-0.5,E22)</f>
        <v/>
      </c>
      <c r="F23" s="28">
        <f>IF(Inputs!$C$7=1,F22-0.5,F22)</f>
        <v/>
      </c>
      <c r="G23" s="28">
        <f>IF(Inputs!$C$7=1,G22-0.5,G22)</f>
        <v/>
      </c>
      <c r="H23" s="28">
        <f>IF(Inputs!$C$7=1,H22-0.5,H22)</f>
        <v/>
      </c>
    </row>
    <row r="24">
      <c r="B24" s="19" t="inlineStr">
        <is>
          <t>Discount factor</t>
        </is>
      </c>
      <c r="D24" s="29">
        <f>1/(1+WACC!$C$19)^D23</f>
        <v/>
      </c>
      <c r="E24" s="29">
        <f>1/(1+WACC!$C$19)^E23</f>
        <v/>
      </c>
      <c r="F24" s="29">
        <f>1/(1+WACC!$C$19)^F23</f>
        <v/>
      </c>
      <c r="G24" s="29">
        <f>1/(1+WACC!$C$19)^G23</f>
        <v/>
      </c>
      <c r="H24" s="29">
        <f>1/(1+WACC!$C$19)^H23</f>
        <v/>
      </c>
    </row>
    <row r="25">
      <c r="B25" s="19" t="inlineStr">
        <is>
          <t>PV of unlevered free cash flow</t>
        </is>
      </c>
      <c r="D25" s="23">
        <f>D20*D24</f>
        <v/>
      </c>
      <c r="E25" s="23">
        <f>E20*E24</f>
        <v/>
      </c>
      <c r="F25" s="23">
        <f>F20*F24</f>
        <v/>
      </c>
      <c r="G25" s="23">
        <f>G20*G24</f>
        <v/>
      </c>
      <c r="H25" s="23">
        <f>H20*H24</f>
        <v/>
      </c>
    </row>
    <row r="27">
      <c r="B27" s="4" t="inlineStr">
        <is>
          <t>Terminal value and enterprise value</t>
        </is>
      </c>
      <c r="C27" s="18" t="inlineStr">
        <is>
          <t>Perpetuity</t>
        </is>
      </c>
      <c r="D27" s="18" t="inlineStr">
        <is>
          <t>Exit multiple</t>
        </is>
      </c>
    </row>
    <row r="28">
      <c r="B28" s="19" t="inlineStr">
        <is>
          <t>WACC</t>
        </is>
      </c>
      <c r="C28" s="30">
        <f>WACC!$C$19</f>
        <v/>
      </c>
      <c r="D28" s="30">
        <f>WACC!$C$19</f>
        <v/>
      </c>
    </row>
    <row r="29">
      <c r="B29" s="19" t="inlineStr">
        <is>
          <t>Terminal growth rate</t>
        </is>
      </c>
      <c r="C29" s="13">
        <f>Inputs!$C$15</f>
        <v/>
      </c>
    </row>
    <row r="30">
      <c r="B30" s="19" t="inlineStr">
        <is>
          <t>Exit EV/EBITDA multiple</t>
        </is>
      </c>
      <c r="D30" s="31">
        <f>Inputs!$C$16</f>
        <v/>
      </c>
    </row>
    <row r="31">
      <c r="B31" s="19" t="inlineStr">
        <is>
          <t>Final-year UFCF / final-year EBITDA</t>
        </is>
      </c>
      <c r="C31" s="23">
        <f>$H$20</f>
        <v/>
      </c>
      <c r="D31" s="23">
        <f>$H$8</f>
        <v/>
      </c>
    </row>
    <row r="32">
      <c r="B32" s="19" t="inlineStr">
        <is>
          <t>Terminal value</t>
        </is>
      </c>
      <c r="C32" s="23">
        <f>C31*(1+C29)/(C28-C29)</f>
        <v/>
      </c>
      <c r="D32" s="23">
        <f>D31*D30</f>
        <v/>
      </c>
    </row>
    <row r="33">
      <c r="B33" s="19" t="inlineStr">
        <is>
          <t>Terminal value discount period</t>
        </is>
      </c>
      <c r="C33" s="28">
        <f>IF(Inputs!$C$7=1,$H$22-0.5,$H$22)</f>
        <v/>
      </c>
      <c r="D33" s="28">
        <f>$H$22</f>
        <v/>
      </c>
    </row>
    <row r="34">
      <c r="B34" s="19" t="inlineStr">
        <is>
          <t>PV of terminal value</t>
        </is>
      </c>
      <c r="C34" s="23">
        <f>C32/(1+C28)^C33</f>
        <v/>
      </c>
      <c r="D34" s="23">
        <f>D32/(1+D28)^D33</f>
        <v/>
      </c>
    </row>
    <row r="35">
      <c r="B35" s="19" t="inlineStr">
        <is>
          <t>Sum of PV of UFCF</t>
        </is>
      </c>
      <c r="C35" s="23">
        <f>SUM($D$25:$H$25)</f>
        <v/>
      </c>
      <c r="D35" s="23">
        <f>SUM($D$25:$H$25)</f>
        <v/>
      </c>
    </row>
    <row r="36">
      <c r="B36" s="20" t="inlineStr">
        <is>
          <t>Enterprise value</t>
        </is>
      </c>
      <c r="C36" s="22">
        <f>C35+C34</f>
        <v/>
      </c>
      <c r="D36" s="22">
        <f>D35+D34</f>
        <v/>
      </c>
    </row>
    <row r="37">
      <c r="B37" s="19" t="inlineStr">
        <is>
          <t>PV of terminal value, % of EV</t>
        </is>
      </c>
      <c r="C37" s="14">
        <f>C34/C36</f>
        <v/>
      </c>
      <c r="D37" s="14">
        <f>D34/D36</f>
        <v/>
      </c>
    </row>
    <row r="38">
      <c r="B38" s="19" t="inlineStr">
        <is>
          <t>Implied exit multiple / implied perpetuity growth</t>
        </is>
      </c>
      <c r="C38" s="32">
        <f>IF($H$8&gt;0,C32*(1+C28)^($H$22-C33)/$H$8,NA())</f>
        <v/>
      </c>
      <c r="D38" s="16">
        <f>IF($H$20&gt;0,(D32/($H$20*(1+D28)^($H$22-C33))*D28-1)/(D32/($H$20*(1+D28)^($H$22-C33))+1),NA())</f>
        <v/>
      </c>
    </row>
    <row r="40">
      <c r="B40" s="4" t="inlineStr">
        <is>
          <t>Equity value and implied share price</t>
        </is>
      </c>
      <c r="C40" s="4" t="n"/>
      <c r="D40" s="4" t="n"/>
    </row>
    <row r="41">
      <c r="B41" s="19" t="inlineStr">
        <is>
          <t>Less: total debt</t>
        </is>
      </c>
      <c r="C41" s="21">
        <f>Inputs!$C$19</f>
        <v/>
      </c>
      <c r="D41" s="21">
        <f>Inputs!$C$19</f>
        <v/>
      </c>
    </row>
    <row r="42">
      <c r="B42" s="19" t="inlineStr">
        <is>
          <t>Less: preferred equity</t>
        </is>
      </c>
      <c r="C42" s="21">
        <f>Inputs!$C$20</f>
        <v/>
      </c>
      <c r="D42" s="21">
        <f>Inputs!$C$20</f>
        <v/>
      </c>
    </row>
    <row r="43">
      <c r="B43" s="19" t="inlineStr">
        <is>
          <t>Less: minority interest</t>
        </is>
      </c>
      <c r="C43" s="21">
        <f>Inputs!$C$21</f>
        <v/>
      </c>
      <c r="D43" s="21">
        <f>Inputs!$C$21</f>
        <v/>
      </c>
    </row>
    <row r="44">
      <c r="B44" s="19" t="inlineStr">
        <is>
          <t>Plus: cash</t>
        </is>
      </c>
      <c r="C44" s="21">
        <f>Inputs!$C$22</f>
        <v/>
      </c>
      <c r="D44" s="21">
        <f>Inputs!$C$22</f>
        <v/>
      </c>
    </row>
    <row r="45">
      <c r="B45" s="19" t="inlineStr">
        <is>
          <t>Plus: non-operating assets</t>
        </is>
      </c>
      <c r="C45" s="21">
        <f>Inputs!$C$23</f>
        <v/>
      </c>
      <c r="D45" s="21">
        <f>Inputs!$C$23</f>
        <v/>
      </c>
    </row>
    <row r="46">
      <c r="B46" s="20" t="inlineStr">
        <is>
          <t>Equity value</t>
        </is>
      </c>
      <c r="C46" s="22">
        <f>C36-C41-C42-C43+C44+C45</f>
        <v/>
      </c>
      <c r="D46" s="22">
        <f>D36-D41-D42-D43+D44+D45</f>
        <v/>
      </c>
    </row>
    <row r="47">
      <c r="B47" s="19" t="inlineStr">
        <is>
          <t>Basic shares</t>
        </is>
      </c>
      <c r="C47" s="33">
        <f>Inputs!$C$26</f>
        <v/>
      </c>
      <c r="D47" s="33">
        <f>Inputs!$C$26</f>
        <v/>
      </c>
    </row>
    <row r="48">
      <c r="B48" s="19" t="inlineStr">
        <is>
          <t>RSUs</t>
        </is>
      </c>
      <c r="C48" s="33">
        <f>Inputs!$C$27</f>
        <v/>
      </c>
      <c r="D48" s="33">
        <f>Inputs!$C$27</f>
        <v/>
      </c>
    </row>
    <row r="49">
      <c r="B49" s="34" t="inlineStr">
        <is>
          <t>Implied share price</t>
        </is>
      </c>
      <c r="C49" s="35">
        <f>SUMPRODUCT($G$56:$G$59,$H$56:$H$59)</f>
        <v/>
      </c>
      <c r="D49" s="35">
        <f>SUMPRODUCT($I$56:$I$59,$J$56:$J$59)</f>
        <v/>
      </c>
    </row>
    <row r="50">
      <c r="B50" t="inlineStr">
        <is>
          <t>Diluted shares (treasury stock method)</t>
        </is>
      </c>
      <c r="C50" s="36">
        <f>IF(C49&gt;0,($C$47+$C$48)+SUMPRODUCT((C49&gt;$C$57:$C$59)*$D$57:$D$59*(1-$C$57:$C$59/C49)),($C$47+$C$48))</f>
        <v/>
      </c>
      <c r="D50" s="36">
        <f>IF(D49&gt;0,($C$47+$C$48)+SUMPRODUCT((D49&gt;$C$57:$C$59)*$D$57:$D$59*(1-$C$57:$C$59/D49)),($C$47+$C$48))</f>
        <v/>
      </c>
    </row>
    <row r="51">
      <c r="B51" s="19" t="inlineStr">
        <is>
          <t>Current share price</t>
        </is>
      </c>
      <c r="C51" s="37">
        <f>Inputs!$C$28</f>
        <v/>
      </c>
      <c r="D51" s="37">
        <f>Inputs!$C$28</f>
        <v/>
      </c>
    </row>
    <row r="52">
      <c r="B52" s="19" t="inlineStr">
        <is>
          <t>Upside / (downside)</t>
        </is>
      </c>
      <c r="C52" s="14">
        <f>IF(ISNUMBER(Inputs!$C$28),C49/C51-1,"n/a")</f>
        <v/>
      </c>
      <c r="D52" s="14">
        <f>IF(ISNUMBER(Inputs!$C$28),D49/D51-1,"n/a")</f>
        <v/>
      </c>
    </row>
    <row r="54">
      <c r="B54" s="4" t="inlineStr">
        <is>
          <t>Treasury stock method (solves the dilution circularity without iteration)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C55" s="38" t="inlineStr">
        <is>
          <t>Strike</t>
        </is>
      </c>
      <c r="D55" s="38" t="inlineStr">
        <is>
          <t>Options</t>
        </is>
      </c>
      <c r="E55" s="38" t="inlineStr">
        <is>
          <t>Cum. options</t>
        </is>
      </c>
      <c r="F55" s="38" t="inlineStr">
        <is>
          <t>Cum. proceeds</t>
        </is>
      </c>
      <c r="G55" s="38" t="inlineStr">
        <is>
          <t>Price: perpetuity</t>
        </is>
      </c>
      <c r="H55" s="38" t="inlineStr">
        <is>
          <t>Valid</t>
        </is>
      </c>
      <c r="I55" s="38" t="inlineStr">
        <is>
          <t>Price: exit</t>
        </is>
      </c>
      <c r="J55" s="38" t="inlineStr">
        <is>
          <t>Valid</t>
        </is>
      </c>
    </row>
    <row r="56">
      <c r="B56" t="inlineStr">
        <is>
          <t>No options in the money</t>
        </is>
      </c>
      <c r="E56" s="36" t="n">
        <v>0</v>
      </c>
      <c r="F56" s="23" t="n">
        <v>0</v>
      </c>
      <c r="G56" s="39">
        <f>($C$46+F56)/(($C$47+$C$48)+E56)</f>
        <v/>
      </c>
      <c r="H56" s="27">
        <f>IF(AND(G56&lt;=C57),1,0)</f>
        <v/>
      </c>
      <c r="I56" s="39">
        <f>($D$46+F56)/(($C$47+$C$48)+E56)</f>
        <v/>
      </c>
      <c r="J56" s="27">
        <f>IF(AND(I56&lt;=C57),1,0)</f>
        <v/>
      </c>
    </row>
    <row r="57">
      <c r="B57" t="inlineStr">
        <is>
          <t>Tranche 1 in the money</t>
        </is>
      </c>
      <c r="C57" s="37">
        <f>Inputs!$D$31</f>
        <v/>
      </c>
      <c r="D57" s="33">
        <f>Inputs!$C$31</f>
        <v/>
      </c>
      <c r="E57" s="36">
        <f>E56+D57</f>
        <v/>
      </c>
      <c r="F57" s="23">
        <f>F56+D57*C57</f>
        <v/>
      </c>
      <c r="G57" s="39">
        <f>($C$46+F57)/(($C$47+$C$48)+E57)</f>
        <v/>
      </c>
      <c r="H57" s="27">
        <f>IF(AND(G57&gt;C57,G57&lt;=C58),1,0)</f>
        <v/>
      </c>
      <c r="I57" s="39">
        <f>($D$46+F57)/(($C$47+$C$48)+E57)</f>
        <v/>
      </c>
      <c r="J57" s="27">
        <f>IF(AND(I57&gt;C57,I57&lt;=C58),1,0)</f>
        <v/>
      </c>
    </row>
    <row r="58">
      <c r="B58" t="inlineStr">
        <is>
          <t>Tranches 1–2 in the money</t>
        </is>
      </c>
      <c r="C58" s="37">
        <f>Inputs!$D$32</f>
        <v/>
      </c>
      <c r="D58" s="33">
        <f>Inputs!$C$32</f>
        <v/>
      </c>
      <c r="E58" s="36">
        <f>E57+D58</f>
        <v/>
      </c>
      <c r="F58" s="23">
        <f>F57+D58*C58</f>
        <v/>
      </c>
      <c r="G58" s="39">
        <f>($C$46+F58)/(($C$47+$C$48)+E58)</f>
        <v/>
      </c>
      <c r="H58" s="27">
        <f>IF(AND(G58&gt;C58,G58&lt;=C59),1,0)</f>
        <v/>
      </c>
      <c r="I58" s="39">
        <f>($D$46+F58)/(($C$47+$C$48)+E58)</f>
        <v/>
      </c>
      <c r="J58" s="27">
        <f>IF(AND(I58&gt;C58,I58&lt;=C59),1,0)</f>
        <v/>
      </c>
    </row>
    <row r="59">
      <c r="B59" t="inlineStr">
        <is>
          <t>Tranches 1–3 in the money</t>
        </is>
      </c>
      <c r="C59" s="37">
        <f>Inputs!$D$33</f>
        <v/>
      </c>
      <c r="D59" s="33">
        <f>Inputs!$C$33</f>
        <v/>
      </c>
      <c r="E59" s="36">
        <f>E58+D59</f>
        <v/>
      </c>
      <c r="F59" s="23">
        <f>F58+D59*C59</f>
        <v/>
      </c>
      <c r="G59" s="39">
        <f>($C$46+F59)/(($C$47+$C$48)+E59)</f>
        <v/>
      </c>
      <c r="H59" s="27">
        <f>IF(AND(G59&gt;C59),1,0)</f>
        <v/>
      </c>
      <c r="I59" s="39">
        <f>($D$46+F59)/(($C$47+$C$48)+E59)</f>
        <v/>
      </c>
      <c r="J59" s="27">
        <f>IF(AND(I59&gt;C59),1,0)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1" t="inlineStr">
        <is>
          <t>Meridian Industrial Corp. (illustrative): sensitivity analysis</t>
        </is>
      </c>
    </row>
    <row r="2">
      <c r="B2" s="2" t="inlineStr">
        <is>
          <t>Values computed by dcfmodel (Python). Rerun dcfmodel after changing inputs to refresh.</t>
        </is>
      </c>
    </row>
    <row r="4">
      <c r="B4" s="4" t="inlineStr">
        <is>
          <t>Implied share price: perpetuity growth method</t>
        </is>
      </c>
      <c r="C4" s="4" t="n"/>
      <c r="D4" s="4" t="n"/>
      <c r="E4" s="4" t="n"/>
      <c r="F4" s="4" t="n"/>
      <c r="G4" s="4" t="n"/>
    </row>
    <row r="5">
      <c r="B5" s="2" t="inlineStr">
        <is>
          <t>WACC ↓   Terminal growth rate →</t>
        </is>
      </c>
      <c r="C5" s="40" t="n">
        <v>0.015</v>
      </c>
      <c r="D5" s="40" t="n">
        <v>0.02</v>
      </c>
      <c r="E5" s="40" t="n">
        <v>0.025</v>
      </c>
      <c r="F5" s="40" t="n">
        <v>0.03</v>
      </c>
      <c r="G5" s="40" t="n">
        <v>0.035</v>
      </c>
    </row>
    <row r="6">
      <c r="B6" s="41" t="n">
        <v>0.08614000000000001</v>
      </c>
      <c r="C6" s="42" t="n">
        <v>42.78191866590473</v>
      </c>
      <c r="D6" s="42" t="n">
        <v>45.59515884696333</v>
      </c>
      <c r="E6" s="42" t="n">
        <v>48.86852990487153</v>
      </c>
      <c r="F6" s="42" t="n">
        <v>52.72497382667504</v>
      </c>
      <c r="G6" s="42" t="n">
        <v>57.33551315751326</v>
      </c>
    </row>
    <row r="7">
      <c r="B7" s="41" t="n">
        <v>0.09114</v>
      </c>
      <c r="C7" s="42" t="n">
        <v>39.69205320443071</v>
      </c>
      <c r="D7" s="42" t="n">
        <v>42.10290311043535</v>
      </c>
      <c r="E7" s="42" t="n">
        <v>44.87128163124765</v>
      </c>
      <c r="F7" s="42" t="n">
        <v>48.09245349861089</v>
      </c>
      <c r="G7" s="42" t="n">
        <v>51.88740019094085</v>
      </c>
    </row>
    <row r="8">
      <c r="B8" s="41" t="n">
        <v>0.09614</v>
      </c>
      <c r="C8" s="42" t="n">
        <v>36.93553810070677</v>
      </c>
      <c r="D8" s="42" t="n">
        <v>39.05214688100624</v>
      </c>
      <c r="E8" s="43" t="n">
        <v>41.43741906396848</v>
      </c>
      <c r="F8" s="42" t="n">
        <v>44.16185153817187</v>
      </c>
      <c r="G8" s="42" t="n">
        <v>47.33188958551942</v>
      </c>
    </row>
    <row r="9">
      <c r="B9" s="41" t="n">
        <v>0.10114</v>
      </c>
      <c r="C9" s="42" t="n">
        <v>34.50042653620314</v>
      </c>
      <c r="D9" s="42" t="n">
        <v>36.3417530349785</v>
      </c>
      <c r="E9" s="42" t="n">
        <v>38.42491385195395</v>
      </c>
      <c r="F9" s="42" t="n">
        <v>40.7851344465073</v>
      </c>
      <c r="G9" s="42" t="n">
        <v>43.46651375078902</v>
      </c>
    </row>
    <row r="10">
      <c r="B10" s="41" t="n">
        <v>0.10614</v>
      </c>
      <c r="C10" s="42" t="n">
        <v>32.33379082670071</v>
      </c>
      <c r="D10" s="42" t="n">
        <v>33.94729587297309</v>
      </c>
      <c r="E10" s="42" t="n">
        <v>35.75965537404858</v>
      </c>
      <c r="F10" s="42" t="n">
        <v>37.81004475443527</v>
      </c>
      <c r="G10" s="42" t="n">
        <v>40.14572681131251</v>
      </c>
    </row>
    <row r="12">
      <c r="B12" s="4" t="inlineStr">
        <is>
          <t>Implied share price: exit multiple method</t>
        </is>
      </c>
      <c r="C12" s="4" t="n"/>
      <c r="D12" s="4" t="n"/>
      <c r="E12" s="4" t="n"/>
      <c r="F12" s="4" t="n"/>
      <c r="G12" s="4" t="n"/>
    </row>
    <row r="13">
      <c r="B13" s="2" t="inlineStr">
        <is>
          <t>WACC ↓   Exit EV/EBITDA multiple →</t>
        </is>
      </c>
      <c r="C13" s="44" t="n">
        <v>8</v>
      </c>
      <c r="D13" s="44" t="n">
        <v>9</v>
      </c>
      <c r="E13" s="44" t="n">
        <v>10</v>
      </c>
      <c r="F13" s="44" t="n">
        <v>11</v>
      </c>
      <c r="G13" s="44" t="n">
        <v>12</v>
      </c>
    </row>
    <row r="14">
      <c r="B14" s="41" t="n">
        <v>0.08614000000000001</v>
      </c>
      <c r="C14" s="42" t="n">
        <v>39.3509062341717</v>
      </c>
      <c r="D14" s="42" t="n">
        <v>43.28342036120368</v>
      </c>
      <c r="E14" s="42" t="n">
        <v>47.20315705190046</v>
      </c>
      <c r="F14" s="42" t="n">
        <v>51.12289374259724</v>
      </c>
      <c r="G14" s="42" t="n">
        <v>55.04263043329401</v>
      </c>
    </row>
    <row r="15">
      <c r="B15" s="41" t="n">
        <v>0.09114</v>
      </c>
      <c r="C15" s="42" t="n">
        <v>38.48653416523494</v>
      </c>
      <c r="D15" s="42" t="n">
        <v>42.34707450620847</v>
      </c>
      <c r="E15" s="42" t="n">
        <v>46.17782221263939</v>
      </c>
      <c r="F15" s="42" t="n">
        <v>50.0085699190703</v>
      </c>
      <c r="G15" s="42" t="n">
        <v>53.83931762550122</v>
      </c>
    </row>
    <row r="16">
      <c r="B16" s="41" t="n">
        <v>0.09614</v>
      </c>
      <c r="C16" s="42" t="n">
        <v>37.6445709809725</v>
      </c>
      <c r="D16" s="42" t="n">
        <v>41.43510980004557</v>
      </c>
      <c r="E16" s="43" t="n">
        <v>45.17928190614568</v>
      </c>
      <c r="F16" s="42" t="n">
        <v>48.92345401224579</v>
      </c>
      <c r="G16" s="42" t="n">
        <v>52.66762611834588</v>
      </c>
    </row>
    <row r="17">
      <c r="B17" s="41" t="n">
        <v>0.10114</v>
      </c>
      <c r="C17" s="42" t="n">
        <v>36.8243273371646</v>
      </c>
      <c r="D17" s="42" t="n">
        <v>40.54677445281627</v>
      </c>
      <c r="E17" s="42" t="n">
        <v>44.20670832707354</v>
      </c>
      <c r="F17" s="42" t="n">
        <v>47.86664220133081</v>
      </c>
      <c r="G17" s="42" t="n">
        <v>51.52657607558808</v>
      </c>
    </row>
    <row r="18">
      <c r="B18" s="41" t="n">
        <v>0.10614</v>
      </c>
      <c r="C18" s="42" t="n">
        <v>36.02513822959082</v>
      </c>
      <c r="D18" s="42" t="n">
        <v>39.67494452981856</v>
      </c>
      <c r="E18" s="42" t="n">
        <v>43.25930297906113</v>
      </c>
      <c r="F18" s="42" t="n">
        <v>46.83726269857571</v>
      </c>
      <c r="G18" s="42" t="n">
        <v>50.41522241809029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2026-10-27T16:42:48Z</dcterms:created>
  <dcterms:modified xsi:type="dcterms:W3CDTF">2026-10-27T16:42:48Z</dcterms:modified>
</cp:coreProperties>
</file>